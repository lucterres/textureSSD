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Code\textureSSD\result\"/>
    </mc:Choice>
  </mc:AlternateContent>
  <xr:revisionPtr revIDLastSave="0" documentId="13_ncr:1_{720E8D41-DE0E-42D5-8D6E-7C3CE7AB2522}" xr6:coauthVersionLast="47" xr6:coauthVersionMax="47" xr10:uidLastSave="{00000000-0000-0000-0000-000000000000}"/>
  <bookViews>
    <workbookView xWindow="-120" yWindow="-120" windowWidth="38640" windowHeight="21840" xr2:uid="{9F544A4F-EBE0-4BF1-AC32-D67FFD3EDE1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6" i="1" l="1"/>
  <c r="N16" i="1"/>
  <c r="M16" i="1"/>
  <c r="H16" i="1"/>
  <c r="K16" i="1"/>
  <c r="L16" i="1"/>
  <c r="J16" i="1"/>
  <c r="I16" i="1"/>
  <c r="G42" i="1"/>
  <c r="G33" i="1"/>
  <c r="G43" i="1" s="1"/>
  <c r="G34" i="1"/>
  <c r="G35" i="1"/>
  <c r="G32" i="1"/>
  <c r="G16" i="1"/>
  <c r="F16" i="1"/>
  <c r="E16" i="1"/>
  <c r="D16" i="1"/>
</calcChain>
</file>

<file path=xl/sharedStrings.xml><?xml version="1.0" encoding="utf-8"?>
<sst xmlns="http://schemas.openxmlformats.org/spreadsheetml/2006/main" count="36" uniqueCount="15">
  <si>
    <t>grupo</t>
  </si>
  <si>
    <t>n</t>
  </si>
  <si>
    <t>invalidas</t>
  </si>
  <si>
    <t>total</t>
  </si>
  <si>
    <t>ablation_no_zones_1d798aa5d5</t>
  </si>
  <si>
    <t>PRECISION</t>
  </si>
  <si>
    <t>MIN</t>
  </si>
  <si>
    <t>MED</t>
  </si>
  <si>
    <t>MAX</t>
  </si>
  <si>
    <t>RECALL</t>
  </si>
  <si>
    <t>F1-SCORE</t>
  </si>
  <si>
    <t>ablation_no_zones_1bd1c8c771</t>
  </si>
  <si>
    <t>ablation_no_zones_0bdd44d530_1</t>
  </si>
  <si>
    <t>ablation_no_zones_3ce657b8f7</t>
  </si>
  <si>
    <t>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</si>
</sst>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FF0000"/>
      <name val="Consolas"/>
      <family val="3"/>
    </font>
    <font>
      <sz val="14"/>
      <name val="Consolas"/>
      <family val="3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728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4" fillId="0" borderId="0" xfId="0" applyFont="1"/>
    <xf numFmtId="0" fontId="2" fillId="3" borderId="1" xfId="0" applyFont="1" applyFill="1" applyBorder="1" applyAlignment="1">
      <alignment vertical="center"/>
    </xf>
    <xf numFmtId="0" fontId="1" fillId="3" borderId="1" xfId="0" applyFont="1" applyFill="1" applyBorder="1"/>
    <xf numFmtId="0" fontId="4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1916F-5B28-42BF-8777-C1F317EAA022}">
  <dimension ref="C6:O43"/>
  <sheetViews>
    <sheetView tabSelected="1" topLeftCell="C1" zoomScale="160" zoomScaleNormal="160" workbookViewId="0">
      <selection activeCell="Q20" sqref="Q20"/>
    </sheetView>
  </sheetViews>
  <sheetFormatPr defaultRowHeight="15" x14ac:dyDescent="0.25"/>
  <cols>
    <col min="3" max="3" width="43.140625" customWidth="1"/>
  </cols>
  <sheetData>
    <row r="6" spans="3:15" ht="18.75" x14ac:dyDescent="0.25">
      <c r="G6" s="2" t="s">
        <v>5</v>
      </c>
      <c r="H6" s="2"/>
      <c r="I6" s="2"/>
      <c r="J6" s="2" t="s">
        <v>9</v>
      </c>
      <c r="K6" s="2"/>
      <c r="L6" s="2"/>
      <c r="M6" s="2" t="s">
        <v>10</v>
      </c>
      <c r="N6" s="2"/>
      <c r="O6" s="2"/>
    </row>
    <row r="7" spans="3:15" x14ac:dyDescent="0.25">
      <c r="C7" t="s">
        <v>0</v>
      </c>
      <c r="D7" t="s">
        <v>1</v>
      </c>
      <c r="E7" t="s">
        <v>2</v>
      </c>
      <c r="F7" t="s">
        <v>3</v>
      </c>
      <c r="G7" t="s">
        <v>6</v>
      </c>
      <c r="H7" t="s">
        <v>7</v>
      </c>
      <c r="I7" t="s">
        <v>8</v>
      </c>
      <c r="J7" t="s">
        <v>6</v>
      </c>
      <c r="K7" t="s">
        <v>7</v>
      </c>
      <c r="L7" t="s">
        <v>8</v>
      </c>
      <c r="M7" t="s">
        <v>6</v>
      </c>
      <c r="N7" t="s">
        <v>7</v>
      </c>
      <c r="O7" t="s">
        <v>8</v>
      </c>
    </row>
    <row r="8" spans="3:15" ht="18.75" x14ac:dyDescent="0.25">
      <c r="C8" s="1" t="s">
        <v>4</v>
      </c>
      <c r="D8">
        <v>10</v>
      </c>
      <c r="E8">
        <v>9</v>
      </c>
      <c r="F8">
        <v>20</v>
      </c>
      <c r="G8">
        <v>0.48930000000000001</v>
      </c>
      <c r="H8">
        <v>0.70389999999999997</v>
      </c>
      <c r="I8">
        <v>1</v>
      </c>
      <c r="J8">
        <v>0.3473</v>
      </c>
      <c r="K8">
        <v>0.87460000000000004</v>
      </c>
      <c r="L8">
        <v>1</v>
      </c>
      <c r="M8">
        <v>0.51559999999999995</v>
      </c>
      <c r="N8">
        <v>0.72529999999999994</v>
      </c>
      <c r="O8">
        <v>0.9536</v>
      </c>
    </row>
    <row r="9" spans="3:15" ht="18.75" x14ac:dyDescent="0.25">
      <c r="C9" s="3" t="s">
        <v>11</v>
      </c>
      <c r="D9">
        <v>2</v>
      </c>
      <c r="E9">
        <v>17</v>
      </c>
      <c r="F9">
        <v>20</v>
      </c>
      <c r="G9">
        <v>0.46889999999999998</v>
      </c>
      <c r="H9">
        <v>0.69210000000000005</v>
      </c>
      <c r="I9">
        <v>0.9153</v>
      </c>
      <c r="J9">
        <v>0.94630000000000003</v>
      </c>
      <c r="K9">
        <v>0.97309999999999997</v>
      </c>
      <c r="L9">
        <v>1</v>
      </c>
      <c r="M9">
        <v>0.63839999999999997</v>
      </c>
      <c r="N9">
        <v>0.78449999999999998</v>
      </c>
      <c r="O9">
        <v>0.93049999999999999</v>
      </c>
    </row>
    <row r="10" spans="3:15" ht="18.75" x14ac:dyDescent="0.25">
      <c r="C10" s="3" t="s">
        <v>12</v>
      </c>
      <c r="D10">
        <v>16</v>
      </c>
      <c r="E10">
        <v>8</v>
      </c>
      <c r="F10">
        <v>50</v>
      </c>
      <c r="G10">
        <v>0.68210000000000004</v>
      </c>
      <c r="H10">
        <v>0.86780000000000002</v>
      </c>
      <c r="I10">
        <v>1</v>
      </c>
      <c r="J10">
        <v>0.61939999999999995</v>
      </c>
      <c r="K10">
        <v>0.90669999999999995</v>
      </c>
      <c r="L10">
        <v>1</v>
      </c>
      <c r="M10">
        <v>0.76500000000000001</v>
      </c>
      <c r="N10">
        <v>0.87270000000000003</v>
      </c>
      <c r="O10">
        <v>1</v>
      </c>
    </row>
    <row r="11" spans="3:15" ht="18.75" x14ac:dyDescent="0.25">
      <c r="C11" s="3" t="s">
        <v>13</v>
      </c>
      <c r="D11">
        <v>10</v>
      </c>
      <c r="E11">
        <v>10</v>
      </c>
      <c r="F11">
        <v>20</v>
      </c>
      <c r="G11">
        <v>0.56510000000000005</v>
      </c>
      <c r="H11">
        <v>0.7359</v>
      </c>
      <c r="I11">
        <v>1</v>
      </c>
      <c r="J11">
        <v>0.64359999999999995</v>
      </c>
      <c r="K11">
        <v>0.93420000000000003</v>
      </c>
      <c r="L11">
        <v>1</v>
      </c>
      <c r="M11">
        <v>0.72209999999999996</v>
      </c>
      <c r="N11">
        <v>0.80249999999999999</v>
      </c>
      <c r="O11">
        <v>0.92789999999999995</v>
      </c>
    </row>
    <row r="14" spans="3:15" ht="18.75" x14ac:dyDescent="0.25">
      <c r="G14" s="2" t="s">
        <v>5</v>
      </c>
      <c r="H14" s="2"/>
      <c r="I14" s="2"/>
      <c r="J14" s="2" t="s">
        <v>9</v>
      </c>
      <c r="K14" s="2"/>
      <c r="L14" s="2"/>
      <c r="M14" s="2" t="s">
        <v>10</v>
      </c>
      <c r="N14" s="2"/>
      <c r="O14" s="2"/>
    </row>
    <row r="15" spans="3:15" x14ac:dyDescent="0.25">
      <c r="D15" t="s">
        <v>1</v>
      </c>
      <c r="E15" t="s">
        <v>2</v>
      </c>
      <c r="F15" t="s">
        <v>3</v>
      </c>
      <c r="G15" t="s">
        <v>6</v>
      </c>
      <c r="H15" t="s">
        <v>7</v>
      </c>
      <c r="I15" t="s">
        <v>8</v>
      </c>
      <c r="J15" t="s">
        <v>6</v>
      </c>
      <c r="K15" t="s">
        <v>7</v>
      </c>
      <c r="L15" t="s">
        <v>8</v>
      </c>
      <c r="M15" t="s">
        <v>6</v>
      </c>
      <c r="N15" t="s">
        <v>7</v>
      </c>
      <c r="O15" t="s">
        <v>8</v>
      </c>
    </row>
    <row r="16" spans="3:15" ht="18.75" x14ac:dyDescent="0.25">
      <c r="C16" s="6" t="s">
        <v>14</v>
      </c>
      <c r="D16" s="7">
        <f>SUM(D8:D11)</f>
        <v>38</v>
      </c>
      <c r="E16" s="7">
        <f>SUM(E8:E11)</f>
        <v>44</v>
      </c>
      <c r="F16" s="7">
        <f>SUM(F8:F11)</f>
        <v>110</v>
      </c>
      <c r="G16" s="8">
        <f>MIN(G8:G11)</f>
        <v>0.46889999999999998</v>
      </c>
      <c r="H16" s="7">
        <f>(H8*$D8+H9*$D9+H10*$D10+H11*$D11)/$D$16</f>
        <v>0.78071052631578952</v>
      </c>
      <c r="I16" s="8">
        <f>MAX(I8:I11)</f>
        <v>1</v>
      </c>
      <c r="J16" s="8">
        <f>MIN(J8:J11)</f>
        <v>0.3473</v>
      </c>
      <c r="K16" s="7">
        <f>(K8*$D8+K9*$D9+K10*$D10+K11*$D11)/$D16</f>
        <v>0.90898421052631573</v>
      </c>
      <c r="L16" s="8">
        <f>MAX(L8:L11)</f>
        <v>1</v>
      </c>
      <c r="M16" s="8">
        <f>MIN(M8:M11)</f>
        <v>0.51559999999999995</v>
      </c>
      <c r="N16" s="7">
        <f>(N8*$D8+N9*$D9+N10*$D10+N11*$D11)/$D16</f>
        <v>0.81079473684210535</v>
      </c>
      <c r="O16" s="8">
        <f>MAX(O8:O11)</f>
        <v>1</v>
      </c>
    </row>
    <row r="19" spans="3:15" x14ac:dyDescent="0.25">
      <c r="G19" s="5"/>
    </row>
    <row r="21" spans="3:15" x14ac:dyDescent="0.25">
      <c r="E21">
        <v>1</v>
      </c>
      <c r="G21">
        <v>0.48930000000000001</v>
      </c>
      <c r="H21">
        <v>0.70389999999999997</v>
      </c>
      <c r="I21">
        <v>1</v>
      </c>
      <c r="J21">
        <v>0.3473</v>
      </c>
      <c r="K21">
        <v>0.87460000000000004</v>
      </c>
      <c r="L21">
        <v>1</v>
      </c>
      <c r="M21">
        <v>0.51559999999999995</v>
      </c>
      <c r="N21">
        <v>0.72529999999999994</v>
      </c>
      <c r="O21">
        <v>0.9536</v>
      </c>
    </row>
    <row r="22" spans="3:15" x14ac:dyDescent="0.25">
      <c r="G22">
        <v>0.46889999999999998</v>
      </c>
      <c r="H22">
        <v>0.69210000000000005</v>
      </c>
      <c r="I22">
        <v>0.9153</v>
      </c>
      <c r="J22">
        <v>0.94630000000000003</v>
      </c>
      <c r="K22">
        <v>0.97309999999999997</v>
      </c>
      <c r="L22">
        <v>1</v>
      </c>
      <c r="M22">
        <v>0.63839999999999997</v>
      </c>
      <c r="N22">
        <v>0.78449999999999998</v>
      </c>
      <c r="O22">
        <v>0.93049999999999999</v>
      </c>
    </row>
    <row r="23" spans="3:15" x14ac:dyDescent="0.25">
      <c r="G23">
        <v>0.68210000000000004</v>
      </c>
      <c r="H23">
        <v>0.86780000000000002</v>
      </c>
      <c r="I23">
        <v>1</v>
      </c>
      <c r="J23">
        <v>0.61939999999999995</v>
      </c>
      <c r="K23">
        <v>0.90669999999999995</v>
      </c>
      <c r="L23">
        <v>1</v>
      </c>
      <c r="M23">
        <v>0.76500000000000001</v>
      </c>
      <c r="N23">
        <v>0.87270000000000003</v>
      </c>
      <c r="O23">
        <v>1</v>
      </c>
    </row>
    <row r="24" spans="3:15" x14ac:dyDescent="0.25">
      <c r="G24">
        <v>0.56510000000000005</v>
      </c>
      <c r="H24">
        <v>0.7359</v>
      </c>
      <c r="I24">
        <v>1</v>
      </c>
      <c r="J24">
        <v>0.64359999999999995</v>
      </c>
      <c r="K24">
        <v>0.93420000000000003</v>
      </c>
      <c r="L24">
        <v>1</v>
      </c>
      <c r="M24">
        <v>0.72209999999999996</v>
      </c>
      <c r="N24">
        <v>0.80249999999999999</v>
      </c>
      <c r="O24">
        <v>0.92789999999999995</v>
      </c>
    </row>
    <row r="29" spans="3:15" ht="18.75" x14ac:dyDescent="0.25">
      <c r="C29" s="3"/>
      <c r="E29" s="3"/>
    </row>
    <row r="30" spans="3:15" ht="18.75" x14ac:dyDescent="0.25">
      <c r="C30" s="3"/>
      <c r="E30" s="3"/>
    </row>
    <row r="31" spans="3:15" ht="18.75" x14ac:dyDescent="0.25">
      <c r="C31" s="3"/>
      <c r="E31" s="3"/>
    </row>
    <row r="32" spans="3:15" ht="18.75" x14ac:dyDescent="0.25">
      <c r="C32" s="3"/>
      <c r="E32" s="3"/>
      <c r="G32" t="str">
        <f>(TRIM(G21))</f>
        <v>0.4893</v>
      </c>
    </row>
    <row r="33" spans="3:7" x14ac:dyDescent="0.25">
      <c r="C33" s="4"/>
      <c r="E33" s="4"/>
      <c r="G33" t="str">
        <f>(TRIM(G22))</f>
        <v>0.4689</v>
      </c>
    </row>
    <row r="34" spans="3:7" ht="18.75" x14ac:dyDescent="0.25">
      <c r="C34" s="3"/>
      <c r="E34" s="3"/>
      <c r="G34" t="str">
        <f t="shared" ref="G34:G37" si="0">(TRIM(G23))</f>
        <v>0.6821</v>
      </c>
    </row>
    <row r="35" spans="3:7" ht="18.75" x14ac:dyDescent="0.25">
      <c r="C35" s="3"/>
      <c r="E35" s="3"/>
      <c r="G35" t="str">
        <f t="shared" si="0"/>
        <v>0.5651</v>
      </c>
    </row>
    <row r="36" spans="3:7" ht="18.75" x14ac:dyDescent="0.25">
      <c r="C36" s="3"/>
      <c r="E36" s="3"/>
    </row>
    <row r="37" spans="3:7" ht="18.75" x14ac:dyDescent="0.25">
      <c r="C37" s="3"/>
      <c r="E37" s="3"/>
      <c r="G37">
        <v>0.48930000000000001</v>
      </c>
    </row>
    <row r="38" spans="3:7" x14ac:dyDescent="0.25">
      <c r="C38" s="4"/>
      <c r="E38" s="4"/>
      <c r="G38">
        <v>0.46889999999999998</v>
      </c>
    </row>
    <row r="39" spans="3:7" ht="18.75" x14ac:dyDescent="0.25">
      <c r="C39" s="3"/>
      <c r="E39" s="3"/>
      <c r="G39">
        <v>0.68210000000000004</v>
      </c>
    </row>
    <row r="40" spans="3:7" ht="18.75" x14ac:dyDescent="0.25">
      <c r="C40" s="3"/>
      <c r="E40" s="3"/>
      <c r="G40">
        <v>0.56510000000000005</v>
      </c>
    </row>
    <row r="41" spans="3:7" ht="18.75" x14ac:dyDescent="0.25">
      <c r="C41" s="3"/>
      <c r="E41" s="3"/>
    </row>
    <row r="42" spans="3:7" ht="18.75" x14ac:dyDescent="0.25">
      <c r="C42" s="3"/>
      <c r="E42" s="3"/>
      <c r="G42">
        <f>VALUE(G37)</f>
        <v>0.48930000000000001</v>
      </c>
    </row>
    <row r="43" spans="3:7" x14ac:dyDescent="0.25">
      <c r="G43" t="str">
        <f>TRIM(G33)</f>
        <v>0.4689</v>
      </c>
    </row>
  </sheetData>
  <mergeCells count="6">
    <mergeCell ref="G6:I6"/>
    <mergeCell ref="J6:L6"/>
    <mergeCell ref="M6:O6"/>
    <mergeCell ref="G14:I14"/>
    <mergeCell ref="J14:L14"/>
    <mergeCell ref="M14:O1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Terres</dc:creator>
  <cp:lastModifiedBy>Luciano Terres</cp:lastModifiedBy>
  <dcterms:created xsi:type="dcterms:W3CDTF">2025-12-29T13:38:42Z</dcterms:created>
  <dcterms:modified xsi:type="dcterms:W3CDTF">2026-01-02T11:18:00Z</dcterms:modified>
</cp:coreProperties>
</file>